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12bc2678fe48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7802658c4b064891"/>
    <x:sheet xmlns:r="http://schemas.openxmlformats.org/officeDocument/2006/relationships" name="Inquilinos" sheetId="2" r:id="Rc6f24f885ddd4a23"/>
    <x:sheet xmlns:r="http://schemas.openxmlformats.org/officeDocument/2006/relationships" name="Cobros abiertos" sheetId="3" r:id="R5f8032088bfa4c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$&quot;#,##0.00"/>
    <x:numFmt numFmtId="201" formatCode="dd/mm/yyyy"/>
    <x:numFmt numFmtId="202" formatCode="0.000%"/>
  </x:numFmts>
  <x:fonts count="13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43442"/>
      <x:name val="Carlito"/>
    </x:font>
    <x:font>
      <x:b/>
      <x:sz val="11"/>
      <x:color rgb="FFFFFFFF"/>
      <x:name val="Carlito"/>
    </x:font>
    <x:font>
      <x:sz val="11"/>
      <x:color rgb="FF243442"/>
      <x:name val="Carlito"/>
    </x:font>
    <x:font>
      <x:i/>
      <x:sz val="11"/>
      <x:color rgb="FF647684"/>
      <x:name val="Carlito"/>
    </x:font>
    <x:font>
      <x:b/>
      <x:sz val="18"/>
      <x:color rgb="FF243442"/>
      <x:name val="Aptos"/>
    </x:font>
    <x:font>
      <x:i/>
      <x:sz val="11"/>
      <x:color rgb="FF243442"/>
      <x:name val="Aptos"/>
    </x:font>
    <x:font>
      <x:sz val="11"/>
      <x:color rgb="FF243442"/>
      <x:name val="Aptos"/>
    </x:font>
    <x:font>
      <x:b/>
      <x:sz val="11"/>
      <x:color rgb="FF243442"/>
      <x:name val="Aptos"/>
    </x:font>
    <x:font>
      <x:b/>
      <x:sz val="18"/>
      <x:color rgb="FFFFFFFF"/>
      <x:name val="Aptos Display"/>
    </x:font>
    <x:font>
      <x:b/>
      <x:sz val="17"/>
      <x:color rgb="FFFFFFFF"/>
      <x:name val="Carlito"/>
    </x:font>
    <x:font>
      <x:b/>
      <x:sz val="11"/>
      <x:color rgb="FF24344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7"/>
      </x:patternFill>
    </x:fill>
    <x:fill>
      <x:patternFill patternType="solid">
        <x:fgColor rgb="FF2D6A8A"/>
      </x:patternFill>
    </x:fill>
    <x:fill>
      <x:patternFill patternType="solid">
        <x:fgColor rgb="FFF7FAFC"/>
      </x:patternFill>
    </x:fill>
  </x:fills>
  <x:borders count="12">
    <x:border/>
    <x:border>
      <x:right style="thin">
        <x:color rgb="FFD6E1E7"/>
      </x:right>
      <x:bottom style="thin">
        <x:color rgb="FFD6E1E7"/>
      </x:bottom>
    </x:border>
    <x:border>
      <x:left style="thin">
        <x:color rgb="FFD6E1E7"/>
      </x:left>
      <x:bottom style="thin">
        <x:color rgb="FFD6E1E7"/>
      </x:bottom>
    </x:border>
    <x:border>
      <x:right style="thin">
        <x:color rgb="FFD6E1E7"/>
      </x:right>
      <x:top style="thin">
        <x:color rgb="FFD6E1E7"/>
      </x:top>
      <x:bottom style="thin">
        <x:color rgb="FFD6E1E7"/>
      </x:bottom>
    </x:border>
    <x:border>
      <x:left style="thin">
        <x:color rgb="FFD6E1E7"/>
      </x:left>
      <x:top style="thin">
        <x:color rgb="FFD6E1E7"/>
      </x:top>
      <x:bottom style="thin">
        <x:color rgb="FFD6E1E7"/>
      </x:bottom>
    </x:border>
    <x:border>
      <x:right style="thin">
        <x:color rgb="FFD6E1E7"/>
      </x:right>
      <x:top style="thin">
        <x:color rgb="FFD6E1E7"/>
      </x:top>
    </x:border>
    <x:border>
      <x:left style="thin">
        <x:color rgb="FFD6E1E7"/>
      </x:left>
      <x:top style="thin">
        <x:color rgb="FFD6E1E7"/>
      </x:top>
    </x:border>
    <x:border>
      <x:top style="thin">
        <x:color rgb="FFD6E1E7"/>
      </x:top>
    </x:border>
    <x:border>
      <x:left style="thin">
        <x:color rgb="FFD6E1E7"/>
      </x:left>
    </x:border>
    <x:border>
      <x:right style="thin">
        <x:color rgb="FFD6E1E7"/>
      </x:right>
    </x:border>
    <x:border>
      <x:bottom style="thin">
        <x:color rgb="FFD6E1E7"/>
      </x:bottom>
    </x:border>
    <x:border>
      <x:top style="thin">
        <x:color rgb="FFD6E1E7"/>
      </x:top>
      <x:bottom style="thin">
        <x:color rgb="FFD6E1E7"/>
      </x:bottom>
    </x:border>
  </x:borders>
  <x:cellStyleXfs count="1">
    <x:xf numFmtId="0" fontId="0" fillId="0" borderId="0"/>
  </x:cellStyleXfs>
  <x:cellXfs count="10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2" xfId="0" applyNumberFormat="1" applyFont="1" applyFill="1" applyBorder="1"/>
    <x:xf numFmtId="0" fontId="4" fillId="5" borderId="10" xfId="0" applyNumberFormat="1" applyFont="1" applyFill="1" applyBorder="1"/>
    <x:xf numFmtId="0" fontId="4" fillId="5" borderId="1" xfId="0" applyNumberFormat="1" applyFont="1" applyFill="1" applyBorder="1"/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9" fillId="4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2" xfId="0" applyNumberFormat="1" applyFont="1" applyFill="1" applyBorder="1"/>
    <x:xf numFmtId="0" fontId="8" fillId="5" borderId="6" xfId="0" applyNumberFormat="1" applyFont="1" applyFill="1" applyBorder="1" applyAlignment="1">
      <x:alignment vertical="top" wrapText="1"/>
    </x:xf>
    <x:xf numFmtId="0" fontId="8" fillId="5" borderId="7" xfId="0" applyNumberFormat="1" applyFont="1" applyFill="1" applyBorder="1" applyAlignment="1">
      <x:alignment vertical="top" wrapText="1"/>
    </x:xf>
    <x:xf numFmtId="0" fontId="8" fillId="5" borderId="5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/>
    <x:xf numFmtId="200" fontId="8" fillId="0" borderId="4" xfId="0" applyNumberFormat="1" applyFont="1" applyFill="1" applyBorder="1"/>
    <x:xf numFmtId="0" fontId="8" fillId="5" borderId="8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8" fillId="5" borderId="9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/>
    <x:xf numFmtId="0" fontId="8" fillId="0" borderId="5" xfId="0" applyNumberFormat="1" applyFont="1" applyFill="1" applyBorder="1"/>
    <x:xf numFmtId="200" fontId="8" fillId="0" borderId="6" xfId="0" applyNumberFormat="1" applyFont="1" applyFill="1" applyBorder="1"/>
    <x:xf numFmtId="0" fontId="8" fillId="5" borderId="2" xfId="0" applyNumberFormat="1" applyFont="1" applyFill="1" applyBorder="1" applyAlignment="1">
      <x:alignment vertical="top" wrapText="1"/>
    </x:xf>
    <x:xf numFmtId="0" fontId="8" fillId="5" borderId="10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vertical="center"/>
    </x:xf>
    <x:xf numFmtId="0" fontId="12" fillId="5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10" xfId="0" applyNumberFormat="1" applyFont="1" applyFill="1" applyBorder="1"/>
    <x:xf numFmtId="201" fontId="4" fillId="0" borderId="10" xfId="0" applyNumberFormat="1" applyFont="1" applyFill="1" applyBorder="1"/>
    <x:xf numFmtId="200" fontId="4" fillId="0" borderId="10" xfId="0" applyNumberFormat="1" applyFont="1" applyFill="1" applyBorder="1"/>
    <x:xf numFmtId="0" fontId="4" fillId="0" borderId="11" xfId="0" applyNumberFormat="1" applyFont="1" applyFill="1" applyBorder="1"/>
    <x:xf numFmtId="201" fontId="4" fillId="0" borderId="11" xfId="0" applyNumberFormat="1" applyFont="1" applyFill="1" applyBorder="1"/>
    <x:xf numFmtId="200" fontId="4" fillId="0" borderId="11" xfId="0" applyNumberFormat="1" applyFont="1" applyFill="1" applyBorder="1"/>
    <x:xf numFmtId="0" fontId="4" fillId="0" borderId="7" xfId="0" applyNumberFormat="1" applyFont="1" applyFill="1" applyBorder="1"/>
    <x:xf numFmtId="201" fontId="4" fillId="0" borderId="7" xfId="0" applyNumberFormat="1" applyFont="1" applyFill="1" applyBorder="1"/>
    <x:xf numFmtId="200" fontId="4" fillId="0" borderId="7" xfId="0" applyNumberFormat="1" applyFont="1" applyFill="1" applyBorder="1"/>
    <x:xf numFmtId="0" fontId="4" fillId="0" borderId="10" xfId="0" applyNumberFormat="1" applyFont="1" applyFill="1" applyBorder="1" applyAlignment="1">
      <x:alignment vertical="center"/>
    </x:xf>
    <x:xf numFmtId="201" fontId="4" fillId="0" borderId="10" xfId="0" applyNumberFormat="1" applyFont="1" applyFill="1" applyBorder="1" applyAlignment="1">
      <x:alignment vertical="center"/>
    </x:xf>
    <x:xf numFmtId="20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201" fontId="4" fillId="0" borderId="11" xfId="0" applyNumberFormat="1" applyFont="1" applyFill="1" applyBorder="1" applyAlignment="1">
      <x:alignment vertical="center"/>
    </x:xf>
    <x:xf numFmtId="200" fontId="4" fillId="0" borderId="11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4" fillId="0" borderId="0" xfId="0" applyNumberFormat="1" applyFont="1" applyFill="1" applyBorder="1"/>
    <x:xf numFmtId="202" fontId="4" fillId="0" borderId="10" xfId="0" applyNumberFormat="1" applyFont="1" applyFill="1" applyBorder="1"/>
    <x:xf numFmtId="202" fontId="4" fillId="0" borderId="11" xfId="0" applyNumberFormat="1" applyFont="1" applyFill="1" applyBorder="1"/>
    <x:xf numFmtId="202" fontId="4" fillId="0" borderId="7" xfId="0" applyNumberFormat="1" applyFont="1" applyFill="1" applyBorder="1"/>
    <x:xf numFmtId="202" fontId="4" fillId="0" borderId="10" xfId="0" applyNumberFormat="1" applyFont="1" applyFill="1" applyBorder="1" applyAlignment="1">
      <x:alignment vertical="center"/>
    </x:xf>
    <x:xf numFmtId="202" fontId="4" fillId="0" borderId="11" xfId="0" applyNumberFormat="1" applyFont="1" applyFill="1" applyBorder="1" applyAlignment="1">
      <x:alignment vertical="center"/>
    </x:xf>
    <x:xf numFmtId="202" fontId="4" fillId="0" borderId="7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A12622"/>
      </x:font>
      <x:fill>
        <x:patternFill patternType="solid">
          <x:bgColor rgb="FFFDE8E7"/>
        </x:patternFill>
      </x:fill>
    </x:dxf>
    <x:dxf>
      <x:font>
        <x:b/>
        <x:color rgb="FF7A5710"/>
      </x:font>
      <x:fill>
        <x:patternFill patternType="solid">
          <x:bgColor rgb="FFFFF4D6"/>
        </x:patternFill>
      </x:fill>
    </x:dxf>
    <x:dxf>
      <x:font>
        <x:b/>
        <x:color rgb="FF276738"/>
      </x:font>
      <x:fill>
        <x:patternFill patternType="solid">
          <x:bgColor rgb="FFE8F4EA"/>
        </x:patternFill>
      </x:fill>
    </x:dxf>
    <x:dxf>
      <x:font>
        <x:b/>
        <x:color rgb="FFA12622"/>
      </x:font>
      <x:fill>
        <x:patternFill patternType="solid">
          <x:bgColor rgb="FFFDE8E7"/>
        </x:patternFill>
      </x:fill>
    </x:dxf>
    <x:dxf>
      <x:font>
        <x:b/>
        <x:color rgb="FF7A5710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901f7df0e34950" /><Relationship Type="http://schemas.openxmlformats.org/officeDocument/2006/relationships/theme" Target="/xl/theme/theme1.xml" Id="Rb9b2dcd120444e24" /><Relationship Type="http://schemas.openxmlformats.org/officeDocument/2006/relationships/sharedStrings" Target="/xl/sharedStrings.xml" Id="R271771b28c434df1" /><Relationship Type="http://schemas.openxmlformats.org/officeDocument/2006/relationships/worksheet" Target="/xl/worksheets/sheet1.xml" Id="R7802658c4b064891" /><Relationship Type="http://schemas.openxmlformats.org/officeDocument/2006/relationships/worksheet" Target="/xl/worksheets/sheet2.xml" Id="Rc6f24f885ddd4a23" /><Relationship Type="http://schemas.openxmlformats.org/officeDocument/2006/relationships/worksheet" Target="/xl/worksheets/sheet3.xml" Id="R5f8032088bfa4ca8" /></Relationships>
</file>

<file path=xl/tables/table1.xml><?xml version="1.0" encoding="utf-8"?>
<x:table xmlns:x="http://schemas.openxmlformats.org/spreadsheetml/2006/main" id="1" name="InquilinosActivos" displayName="InquilinosActivos" ref="A6:V18" headerRowCount="1" totalsRowCount="0" totalsRowShown="0">
  <x:tableColumns count="22">
    <x:tableColumn id="1" name="ID inquilino"/>
    <x:tableColumn id="2" name="Nombre completo"/>
    <x:tableColumn id="3" name="DNI"/>
    <x:tableColumn id="4" name="Teléfono"/>
    <x:tableColumn id="5" name="Email"/>
    <x:tableColumn id="6" name="Unidad"/>
    <x:tableColumn id="7" name="Código"/>
    <x:tableColumn id="8" name="Tipo"/>
    <x:tableColumn id="9" name="Propietario"/>
    <x:tableColumn id="10" name="Inicio contrato"/>
    <x:tableColumn id="11" name="Fin contrato"/>
    <x:tableColumn id="12" name="Alquiler base registrado"/>
    <x:tableColumn id="13" name="Alquiler actual"/>
    <x:tableColumn id="14" name="Pendiente total"/>
    <x:tableColumn id="15" name="Deuda con mora"/>
    <x:tableColumn id="16" name="Debe desde"/>
    <x:tableColumn id="17" name="Días máx. mora"/>
    <x:tableColumn id="18" name="Situación"/>
    <x:tableColumn id="19" name="Alquiler programado"/>
    <x:tableColumn id="20" name="Vigencia programada"/>
    <x:tableColumn id="21" name="Estado invitación"/>
    <x:tableColumn id="22" name="Perfil comple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brosAbiertos" displayName="CobrosAbiertos" ref="A6:L17" headerRowCount="1" totalsRowCount="0" totalsRowShown="0">
  <x:tableColumns count="12">
    <x:tableColumn id="1" name="ID inquilino"/>
    <x:tableColumn id="2" name="Inquilino"/>
    <x:tableColumn id="3" name="Unidad"/>
    <x:tableColumn id="4" name="Período"/>
    <x:tableColumn id="5" name="Vencimiento"/>
    <x:tableColumn id="6" name="Estado"/>
    <x:tableColumn id="7" name="Subtotal"/>
    <x:tableColumn id="8" name="Mora acumulada"/>
    <x:tableColumn id="9" name="Total adeudado"/>
    <x:tableColumn id="10" name="Días de mora"/>
    <x:tableColumn id="11" name="Tasa diaria"/>
    <x:tableColumn id="12" name="Detalle de concepto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18388906a748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49caed20e940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68" t="str">
        <x:v>Informe actual de inquilinos</x:v>
      </x:c>
      <x:c r="B1" s="68"/>
      <x:c r="C1" s="68"/>
      <x:c r="D1" s="68"/>
      <x:c r="E1" s="68"/>
      <x:c r="F1" s="68"/>
      <x:c r="G1" s="68"/>
      <x:c r="H1" s="68"/>
    </x:row>
    <x:row r="2" ht="24" customHeight="1">
      <x:c r="A2" s="48" t="str">
        <x:v>La Casona · datos registrados y situación de alquiler al 04/08/2026</x:v>
      </x:c>
      <x:c r="B2" s="48"/>
      <x:c r="C2" s="48"/>
      <x:c r="D2" s="48"/>
      <x:c r="E2" s="48"/>
      <x:c r="F2" s="48"/>
      <x:c r="G2" s="48"/>
      <x:c r="H2" s="48"/>
    </x:row>
    <x:row r="3">
      <x:c r="A3" s="49"/>
      <x:c r="B3" s="49"/>
      <x:c r="C3" s="49"/>
      <x:c r="D3" s="49"/>
      <x:c r="E3" s="49"/>
      <x:c r="F3" s="49"/>
      <x:c r="G3" s="49"/>
      <x:c r="H3" s="49"/>
    </x:row>
    <x:row r="4">
      <x:c r="A4" s="50" t="str">
        <x:v>Indicador</x:v>
      </x:c>
      <x:c r="B4" s="50" t="str">
        <x:v>Valor</x:v>
      </x:c>
      <x:c r="C4" s="49"/>
      <x:c r="D4" s="50" t="str">
        <x:v>Criterio del informe</x:v>
      </x:c>
      <x:c r="E4" s="50"/>
      <x:c r="F4" s="50"/>
      <x:c r="G4" s="50"/>
      <x:c r="H4" s="50"/>
    </x:row>
    <x:row r="5" ht="25" customHeight="1">
      <x:c r="A5" s="51" t="str">
        <x:v>Inquilinos activos</x:v>
      </x:c>
      <x:c r="B5" s="52" t="n">
        <x:f>COUNTA('Inquilinos'!$A$7:$A$100)</x:f>
        <x:v>12</x:v>
      </x:c>
      <x:c r="C5" s="49"/>
      <x:c r="D5" s="53" t="str">
        <x:v>“Alquiler actual” aplica el importe pendiente programado cuando su período de vigencia ya comenzó. “Pendiente total” suma cobros abiertos (pendientes, vencidos, en revisión o parciales). “Mora” incluye solamente cobros vencidos. El período 'Debe desde' es el vencido más antiguo registrado.</x:v>
      </x:c>
      <x:c r="E5" s="54"/>
      <x:c r="F5" s="54"/>
      <x:c r="G5" s="54"/>
      <x:c r="H5" s="55"/>
    </x:row>
    <x:row r="6" ht="25" customHeight="1">
      <x:c r="A6" s="56" t="str">
        <x:v>Alquiler mensual actual</x:v>
      </x:c>
      <x:c r="B6" s="57" t="n">
        <x:f>SUM('Inquilinos'!$M$7:$M$100)</x:f>
        <x:v>4420239.2</x:v>
      </x:c>
      <x:c r="C6" s="49"/>
      <x:c r="D6" s="58"/>
      <x:c r="E6" s="59"/>
      <x:c r="F6" s="59"/>
      <x:c r="G6" s="59"/>
      <x:c r="H6" s="60"/>
    </x:row>
    <x:row r="7" ht="25" customHeight="1">
      <x:c r="A7" s="56" t="str">
        <x:v>Total de cobros abiertos</x:v>
      </x:c>
      <x:c r="B7" s="61" t="n">
        <x:f>COUNTA('Cobros abiertos'!$A$7:$A$100)</x:f>
        <x:v>11</x:v>
      </x:c>
      <x:c r="C7" s="49"/>
      <x:c r="D7" s="58"/>
      <x:c r="E7" s="59"/>
      <x:c r="F7" s="59"/>
      <x:c r="G7" s="59"/>
      <x:c r="H7" s="60"/>
    </x:row>
    <x:row r="8" ht="25" customHeight="1">
      <x:c r="A8" s="56" t="str">
        <x:v>Importe pendiente total</x:v>
      </x:c>
      <x:c r="B8" s="57" t="n">
        <x:f>SUM('Cobros abiertos'!$I$7:$I$100)</x:f>
        <x:v>4047937.6</x:v>
      </x:c>
      <x:c r="C8" s="49"/>
      <x:c r="D8" s="58"/>
      <x:c r="E8" s="59"/>
      <x:c r="F8" s="59"/>
      <x:c r="G8" s="59"/>
      <x:c r="H8" s="60"/>
    </x:row>
    <x:row r="9" ht="25" customHeight="1">
      <x:c r="A9" s="56" t="str">
        <x:v>Inquilinos con mora</x:v>
      </x:c>
      <x:c r="B9" s="61" t="n">
        <x:f>COUNTIF('Inquilinos'!$R$7:$R$100,"Con mora")</x:f>
        <x:v>3</x:v>
      </x:c>
      <x:c r="C9" s="49"/>
      <x:c r="D9" s="58"/>
      <x:c r="E9" s="59"/>
      <x:c r="F9" s="59"/>
      <x:c r="G9" s="59"/>
      <x:c r="H9" s="60"/>
    </x:row>
    <x:row r="10" ht="25" customHeight="1">
      <x:c r="A10" s="62" t="str">
        <x:v>Mora total</x:v>
      </x:c>
      <x:c r="B10" s="63" t="n">
        <x:f>SUM('Inquilinos'!$O$7:$O$100)</x:f>
        <x:v>1394497.6</x:v>
      </x:c>
      <x:c r="C10" s="49"/>
      <x:c r="D10" s="64"/>
      <x:c r="E10" s="65"/>
      <x:c r="F10" s="65"/>
      <x:c r="G10" s="65"/>
      <x:c r="H10" s="66"/>
    </x:row>
    <x:row r="11">
      <x:c r="A11" s="49"/>
      <x:c r="B11" s="49"/>
      <x:c r="C11" s="49"/>
      <x:c r="D11" s="49"/>
      <x:c r="E11" s="49"/>
      <x:c r="F11" s="49"/>
      <x:c r="G11" s="49"/>
      <x:c r="H11" s="49"/>
    </x:row>
    <x:row r="12">
      <x:c r="A12" s="67" t="str">
        <x:v>Fuente: Firestore del proyecto alquileres-la-casona · extracción realizada el 04/08/2026 (America/Buenos_Aires).</x:v>
      </x:c>
      <x:c r="B12" s="67"/>
      <x:c r="C12" s="67"/>
      <x:c r="D12" s="67"/>
      <x:c r="E12" s="67"/>
      <x:c r="F12" s="67"/>
      <x:c r="G12" s="67"/>
      <x:c r="H12" s="67"/>
    </x:row>
  </x:sheetData>
  <x:mergeCells>
    <x:mergeCell ref="A1:H1"/>
    <x:mergeCell ref="A2:H2"/>
    <x:mergeCell ref="D4:H4"/>
    <x:mergeCell ref="D5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17" hidden="0" customWidth="1"/>
    <x:col min="5" max="5" width="28" hidden="0" customWidth="1"/>
    <x:col min="6" max="6" width="24" hidden="0" customWidth="1"/>
    <x:col min="7" max="7" width="10" hidden="0" customWidth="1"/>
    <x:col min="8" max="8" width="15" hidden="0" customWidth="1"/>
    <x:col min="9" max="9" width="13" hidden="0" customWidth="1"/>
    <x:col min="10" max="10" width="14" hidden="0" customWidth="1"/>
    <x:col min="11" max="11" width="14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4" hidden="0" customWidth="1"/>
    <x:col min="17" max="17" width="12" hidden="0" customWidth="1"/>
    <x:col min="18" max="18" width="14" hidden="0" customWidth="1"/>
    <x:col min="19" max="19" width="18" hidden="0" customWidth="1"/>
    <x:col min="20" max="20" width="17" hidden="0" customWidth="1"/>
    <x:col min="21" max="21" width="17" hidden="0" customWidth="1"/>
    <x:col min="22" max="22" width="15" hidden="0" customWidth="1"/>
  </x:cols>
  <x:sheetData>
    <x:row r="1" ht="32" customHeight="1">
      <x:c r="A1" s="70" t="str">
        <x:v>Inquilinos activos y situación actual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0"/>
      <x:c r="P1" s="70"/>
      <x:c r="Q1" s="70"/>
      <x:c r="R1" s="70"/>
      <x:c r="S1" s="70"/>
      <x:c r="T1" s="70"/>
      <x:c r="U1" s="70"/>
      <x:c r="V1" s="70"/>
    </x:row>
    <x:row r="2" ht="23" customHeight="1">
      <x:c r="A2" s="5" t="str">
        <x:v>Campos de registro, unidad asignada, alquiler vigente y deuda consolidada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</x:row>
    <x:row r="4">
      <x:c r="A4" s="71" t="str">
        <x:v>Período del informe</x:v>
      </x:c>
      <x:c r="B4" s="71" t="str">
        <x:v>2026-08</x:v>
      </x:c>
    </x:row>
    <x:row r="6" ht="34" customHeight="1">
      <x:c r="A6" s="73" t="str">
        <x:v>ID inquilino</x:v>
      </x:c>
      <x:c r="B6" s="73" t="str">
        <x:v>Nombre completo</x:v>
      </x:c>
      <x:c r="C6" s="73" t="str">
        <x:v>DNI</x:v>
      </x:c>
      <x:c r="D6" s="73" t="str">
        <x:v>Teléfono</x:v>
      </x:c>
      <x:c r="E6" s="73" t="str">
        <x:v>Email</x:v>
      </x:c>
      <x:c r="F6" s="73" t="str">
        <x:v>Unidad</x:v>
      </x:c>
      <x:c r="G6" s="73" t="str">
        <x:v>Código</x:v>
      </x:c>
      <x:c r="H6" s="73" t="str">
        <x:v>Tipo</x:v>
      </x:c>
      <x:c r="I6" s="73" t="str">
        <x:v>Propietario</x:v>
      </x:c>
      <x:c r="J6" s="73" t="str">
        <x:v>Inicio contrato</x:v>
      </x:c>
      <x:c r="K6" s="73" t="str">
        <x:v>Fin contrato</x:v>
      </x:c>
      <x:c r="L6" s="73" t="str">
        <x:v>Alquiler base registrado</x:v>
      </x:c>
      <x:c r="M6" s="73" t="str">
        <x:v>Alquiler actual</x:v>
      </x:c>
      <x:c r="N6" s="73" t="str">
        <x:v>Pendiente total</x:v>
      </x:c>
      <x:c r="O6" s="73" t="str">
        <x:v>Deuda con mora</x:v>
      </x:c>
      <x:c r="P6" s="73" t="str">
        <x:v>Debe desde</x:v>
      </x:c>
      <x:c r="Q6" s="73" t="str">
        <x:v>Días máx. mora</x:v>
      </x:c>
      <x:c r="R6" s="73" t="str">
        <x:v>Situación</x:v>
      </x:c>
      <x:c r="S6" s="73" t="str">
        <x:v>Alquiler programado</x:v>
      </x:c>
      <x:c r="T6" s="73" t="str">
        <x:v>Vigencia programada</x:v>
      </x:c>
      <x:c r="U6" s="73" t="str">
        <x:v>Estado invitación</x:v>
      </x:c>
      <x:c r="V6" s="73" t="str">
        <x:v>Perfil completo</x:v>
      </x:c>
    </x:row>
    <x:row r="7">
      <x:c r="A7" s="88" t="str">
        <x:v>skW9lVVh4enAPIFxfwrv</x:v>
      </x:c>
      <x:c r="B7" s="88" t="str">
        <x:v>Adrian Colman</x:v>
      </x:c>
      <x:c r="C7" s="88" t="str">
        <x:v>23850668</x:v>
      </x:c>
      <x:c r="D7" s="88" t="str">
        <x:v>3704902746</x:v>
      </x:c>
      <x:c r="E7" s="88" t="str">
        <x:v>adricolman2802@gmail.com</x:v>
      </x:c>
      <x:c r="F7" s="88" t="str">
        <x:v>Departamento 10</x:v>
      </x:c>
      <x:c r="G7" s="88" t="str">
        <x:v>10</x:v>
      </x:c>
      <x:c r="H7" s="88" t="str">
        <x:v>Departamento</x:v>
      </x:c>
      <x:c r="I7" s="88" t="str"/>
      <x:c r="J7" s="89" t="n">
        <x:v>46180.625</x:v>
      </x:c>
      <x:c r="K7" s="89" t="n">
        <x:v>46418.625</x:v>
      </x:c>
      <x:c r="L7" s="90" t="n">
        <x:v>321680</x:v>
      </x:c>
      <x:c r="M7" s="90" t="n">
        <x:f>IF(AND(T7&lt;&gt;"",T7&lt;=$B$4,S7&gt;0),S7,L7)</x:f>
        <x:v>366715.2</x:v>
      </x:c>
      <x:c r="N7" s="90" t="n">
        <x:f>SUMIF('Cobros abiertos'!$A$7:$A$100,A7,'Cobros abiertos'!$I$7:$I$100)</x:f>
        <x:v>331680</x:v>
      </x:c>
      <x:c r="O7" s="90" t="n">
        <x:f>SUMIFS('Cobros abiertos'!$I$7:$I$100,'Cobros abiertos'!$A$7:$A$100,A7,'Cobros abiertos'!$F$7:$F$100,"Vencido")</x:f>
        <x:v>0</x:v>
      </x:c>
      <x:c r="P7" s="88" t="str"/>
      <x:c r="Q7" s="88" t="n">
        <x:v>0</x:v>
      </x:c>
      <x:c r="R7" s="88" t="str">
        <x:f>IF(O7&gt;0,"Con mora",IF(N7&gt;0,"Pendiente","Al día"))</x:f>
        <x:v>Pendiente</x:v>
      </x:c>
      <x:c r="S7" s="90" t="n">
        <x:v>366715.2</x:v>
      </x:c>
      <x:c r="T7" s="88" t="str">
        <x:v>2026-08</x:v>
      </x:c>
      <x:c r="U7" s="88" t="str">
        <x:v>self_registered</x:v>
      </x:c>
      <x:c r="V7" s="88" t="str">
        <x:v>Sí</x:v>
      </x:c>
    </x:row>
    <x:row r="8">
      <x:c r="A8" s="91" t="str">
        <x:v>c6coqDyow91HukhG6qOu</x:v>
      </x:c>
      <x:c r="B8" s="91" t="str">
        <x:v>Alan exequiel videla</x:v>
      </x:c>
      <x:c r="C8" s="91" t="str">
        <x:v>40992332</x:v>
      </x:c>
      <x:c r="D8" s="91" t="str">
        <x:v>3731410880</x:v>
      </x:c>
      <x:c r="E8" s="91" t="str">
        <x:v>alanvidela13@gmail.com</x:v>
      </x:c>
      <x:c r="F8" s="91" t="str">
        <x:v>Departamento 7</x:v>
      </x:c>
      <x:c r="G8" s="91" t="str">
        <x:v>7</x:v>
      </x:c>
      <x:c r="H8" s="91" t="str">
        <x:v>Departamento</x:v>
      </x:c>
      <x:c r="I8" s="91" t="str"/>
      <x:c r="J8" s="92" t="n">
        <x:v>46181.625</x:v>
      </x:c>
      <x:c r="K8" s="92" t="n">
        <x:v>46388.625</x:v>
      </x:c>
      <x:c r="L8" s="93" t="n">
        <x:v>321680</x:v>
      </x:c>
      <x:c r="M8" s="93" t="n">
        <x:f>IF(AND(T8&lt;&gt;"",T8&lt;=$B$4,S8&gt;0),S8,L8)</x:f>
        <x:v>366715.2</x:v>
      </x:c>
      <x:c r="N8" s="93" t="n">
        <x:f>SUMIF('Cobros abiertos'!$A$7:$A$100,A8,'Cobros abiertos'!$I$7:$I$100)</x:f>
        <x:v>686577.6</x:v>
      </x:c>
      <x:c r="O8" s="93" t="n">
        <x:f>SUMIFS('Cobros abiertos'!$I$7:$I$100,'Cobros abiertos'!$A$7:$A$100,A8,'Cobros abiertos'!$F$7:$F$100,"Vencido")</x:f>
        <x:v>354897.6</x:v>
      </x:c>
      <x:c r="P8" s="91" t="str">
        <x:v>2026-06</x:v>
      </x:c>
      <x:c r="Q8" s="91" t="n">
        <x:v>7</x:v>
      </x:c>
      <x:c r="R8" s="91" t="str">
        <x:f>IF(O8&gt;0,"Con mora",IF(N8&gt;0,"Pendiente","Al día"))</x:f>
        <x:v>Con mora</x:v>
      </x:c>
      <x:c r="S8" s="93" t="n">
        <x:v>366715.2</x:v>
      </x:c>
      <x:c r="T8" s="91" t="str">
        <x:v>2026-08</x:v>
      </x:c>
      <x:c r="U8" s="91" t="str">
        <x:v>self_registered</x:v>
      </x:c>
      <x:c r="V8" s="91" t="str">
        <x:v>Sí</x:v>
      </x:c>
    </x:row>
    <x:row r="9">
      <x:c r="A9" s="91" t="str">
        <x:v>rwIffS65mRRAcKiWObl9</x:v>
      </x:c>
      <x:c r="B9" s="91" t="str">
        <x:v>Alvaro Efrain Moore Martinez</x:v>
      </x:c>
      <x:c r="C9" s="91" t="str">
        <x:v>33942227</x:v>
      </x:c>
      <x:c r="D9" s="91" t="str">
        <x:v>3644636198</x:v>
      </x:c>
      <x:c r="E9" s="91" t="str">
        <x:v>alvaroe.mooremartinez@gmail.com</x:v>
      </x:c>
      <x:c r="F9" s="91" t="str">
        <x:v>Casa 1</x:v>
      </x:c>
      <x:c r="G9" s="91" t="str">
        <x:v>1</x:v>
      </x:c>
      <x:c r="H9" s="91" t="str">
        <x:v>Casa</x:v>
      </x:c>
      <x:c r="I9" s="91" t="str">
        <x:v>Ivo</x:v>
      </x:c>
      <x:c r="J9" s="92" t="n">
        <x:v>46174.625</x:v>
      </x:c>
      <x:c r="K9" s="92" t="n">
        <x:v>46934.625</x:v>
      </x:c>
      <x:c r="L9" s="93" t="n">
        <x:v>500000</x:v>
      </x:c>
      <x:c r="M9" s="93" t="n">
        <x:f>IF(AND(T9&lt;&gt;"",T9&lt;=$B$4,S9&gt;0),S9,L9)</x:f>
        <x:v>500000</x:v>
      </x:c>
      <x:c r="N9" s="93" t="n">
        <x:f>SUMIF('Cobros abiertos'!$A$7:$A$100,A9,'Cobros abiertos'!$I$7:$I$100)</x:f>
        <x:v>625000</x:v>
      </x:c>
      <x:c r="O9" s="93" t="n">
        <x:f>SUMIFS('Cobros abiertos'!$I$7:$I$100,'Cobros abiertos'!$A$7:$A$100,A9,'Cobros abiertos'!$F$7:$F$100,"Vencido")</x:f>
        <x:v>625000</x:v>
      </x:c>
      <x:c r="P9" s="91" t="str">
        <x:v>2026-05</x:v>
      </x:c>
      <x:c r="Q9" s="91" t="n">
        <x:v>25</x:v>
      </x:c>
      <x:c r="R9" s="91" t="str">
        <x:f>IF(O9&gt;0,"Con mora",IF(N9&gt;0,"Pendiente","Al día"))</x:f>
        <x:v>Con mora</x:v>
      </x:c>
      <x:c r="S9" s="93" t="n">
        <x:v>0</x:v>
      </x:c>
      <x:c r="T9" s="91" t="str"/>
      <x:c r="U9" s="91" t="str">
        <x:v>self_registered</x:v>
      </x:c>
      <x:c r="V9" s="91" t="str">
        <x:v>Sí</x:v>
      </x:c>
    </x:row>
    <x:row r="10">
      <x:c r="A10" s="91" t="str">
        <x:v>SYfEm3bmNUdLo0rIAiCH</x:v>
      </x:c>
      <x:c r="B10" s="91" t="str">
        <x:v>Carla Guadalupe Gauna Acosta</x:v>
      </x:c>
      <x:c r="C10" s="91" t="str">
        <x:v>46716969</x:v>
      </x:c>
      <x:c r="D10" s="91" t="str">
        <x:v>3644562514</x:v>
      </x:c>
      <x:c r="E10" s="91" t="str">
        <x:v>carlagauna1980@gmail.com</x:v>
      </x:c>
      <x:c r="F10" s="91" t="str">
        <x:v>Departamento 8</x:v>
      </x:c>
      <x:c r="G10" s="91" t="str">
        <x:v>8</x:v>
      </x:c>
      <x:c r="H10" s="91" t="str">
        <x:v>Departamento</x:v>
      </x:c>
      <x:c r="I10" s="91" t="str"/>
      <x:c r="J10" s="92" t="n">
        <x:v>46181.625</x:v>
      </x:c>
      <x:c r="K10" s="92" t="n">
        <x:v>46548.625</x:v>
      </x:c>
      <x:c r="L10" s="93" t="n">
        <x:v>321680</x:v>
      </x:c>
      <x:c r="M10" s="93" t="n">
        <x:f>IF(AND(T10&lt;&gt;"",T10&lt;=$B$4,S10&gt;0),S10,L10)</x:f>
        <x:v>321680</x:v>
      </x:c>
      <x:c r="N10" s="93" t="n">
        <x:f>SUMIF('Cobros abiertos'!$A$7:$A$100,A10,'Cobros abiertos'!$I$7:$I$100)</x:f>
        <x:v>746280</x:v>
      </x:c>
      <x:c r="O10" s="93" t="n">
        <x:f>SUMIFS('Cobros abiertos'!$I$7:$I$100,'Cobros abiertos'!$A$7:$A$100,A10,'Cobros abiertos'!$F$7:$F$100,"Vencido")</x:f>
        <x:v>414600</x:v>
      </x:c>
      <x:c r="P10" s="91" t="str">
        <x:v>2026-06</x:v>
      </x:c>
      <x:c r="Q10" s="91" t="n">
        <x:v>25</x:v>
      </x:c>
      <x:c r="R10" s="91" t="str">
        <x:f>IF(O10&gt;0,"Con mora",IF(N10&gt;0,"Pendiente","Al día"))</x:f>
        <x:v>Con mora</x:v>
      </x:c>
      <x:c r="S10" s="93" t="n">
        <x:v>366715.2</x:v>
      </x:c>
      <x:c r="T10" s="91" t="str">
        <x:v>2026-09</x:v>
      </x:c>
      <x:c r="U10" s="91" t="str">
        <x:v>claimed</x:v>
      </x:c>
      <x:c r="V10" s="91" t="str">
        <x:v>Sí</x:v>
      </x:c>
    </x:row>
    <x:row r="11">
      <x:c r="A11" s="91" t="str">
        <x:v>Lyb3dKlEGVq3QA5CGr7g</x:v>
      </x:c>
      <x:c r="B11" s="91" t="str">
        <x:v>Erceg Antonella Slauka Yovanina</x:v>
      </x:c>
      <x:c r="C11" s="91" t="str">
        <x:v>48146415</x:v>
      </x:c>
      <x:c r="D11" s="91" t="str">
        <x:v>3704273333</x:v>
      </x:c>
      <x:c r="E11" s="91" t="str">
        <x:v>ercegantonella4@gmail.com</x:v>
      </x:c>
      <x:c r="F11" s="91" t="str">
        <x:v>Departamento 6</x:v>
      </x:c>
      <x:c r="G11" s="91" t="str">
        <x:v>6</x:v>
      </x:c>
      <x:c r="H11" s="91" t="str">
        <x:v>Departamento</x:v>
      </x:c>
      <x:c r="I11" s="91" t="str"/>
      <x:c r="J11" s="92" t="n">
        <x:v>46180.625</x:v>
      </x:c>
      <x:c r="K11" s="92" t="n">
        <x:v>46418.625</x:v>
      </x:c>
      <x:c r="L11" s="93" t="n">
        <x:v>340520</x:v>
      </x:c>
      <x:c r="M11" s="93" t="n">
        <x:f>IF(AND(T11&lt;&gt;"",T11&lt;=$B$4,S11&gt;0),S11,L11)</x:f>
        <x:v>388192.8</x:v>
      </x:c>
      <x:c r="N11" s="93" t="n">
        <x:f>SUMIF('Cobros abiertos'!$A$7:$A$100,A11,'Cobros abiertos'!$I$7:$I$100)</x:f>
        <x:v>0</x:v>
      </x:c>
      <x:c r="O11" s="93" t="n">
        <x:f>SUMIFS('Cobros abiertos'!$I$7:$I$100,'Cobros abiertos'!$A$7:$A$100,A11,'Cobros abiertos'!$F$7:$F$100,"Vencido")</x:f>
        <x:v>0</x:v>
      </x:c>
      <x:c r="P11" s="91" t="str"/>
      <x:c r="Q11" s="91" t="n">
        <x:v>0</x:v>
      </x:c>
      <x:c r="R11" s="91" t="str">
        <x:f>IF(O11&gt;0,"Con mora",IF(N11&gt;0,"Pendiente","Al día"))</x:f>
        <x:v>Al día</x:v>
      </x:c>
      <x:c r="S11" s="93" t="n">
        <x:v>388192.8</x:v>
      </x:c>
      <x:c r="T11" s="91" t="str">
        <x:v>2026-08</x:v>
      </x:c>
      <x:c r="U11" s="91" t="str">
        <x:v>self_registered</x:v>
      </x:c>
      <x:c r="V11" s="91" t="str">
        <x:v>Sí</x:v>
      </x:c>
    </x:row>
    <x:row r="12">
      <x:c r="A12" s="91" t="str">
        <x:v>OvKft1oWgbzqG9rygDcg</x:v>
      </x:c>
      <x:c r="B12" s="91" t="str">
        <x:v>Evelyn Juliana Aguirre</x:v>
      </x:c>
      <x:c r="C12" s="91" t="str">
        <x:v>40181042</x:v>
      </x:c>
      <x:c r="D12" s="91" t="str">
        <x:v>3644364248</x:v>
      </x:c>
      <x:c r="E12" s="91" t="str">
        <x:v>aguirreevelynj@gmail.com</x:v>
      </x:c>
      <x:c r="F12" s="91" t="str">
        <x:v>Departamento 9</x:v>
      </x:c>
      <x:c r="G12" s="91" t="str">
        <x:v>9</x:v>
      </x:c>
      <x:c r="H12" s="91" t="str">
        <x:v>Departamento</x:v>
      </x:c>
      <x:c r="I12" s="91" t="str"/>
      <x:c r="J12" s="92" t="n">
        <x:v>46180.625</x:v>
      </x:c>
      <x:c r="K12" s="92" t="n">
        <x:v>46418.625</x:v>
      </x:c>
      <x:c r="L12" s="93" t="n">
        <x:v>321680</x:v>
      </x:c>
      <x:c r="M12" s="93" t="n">
        <x:f>IF(AND(T12&lt;&gt;"",T12&lt;=$B$4,S12&gt;0),S12,L12)</x:f>
        <x:v>366715.2</x:v>
      </x:c>
      <x:c r="N12" s="93" t="n">
        <x:f>SUMIF('Cobros abiertos'!$A$7:$A$100,A12,'Cobros abiertos'!$I$7:$I$100)</x:f>
        <x:v>331680</x:v>
      </x:c>
      <x:c r="O12" s="93" t="n">
        <x:f>SUMIFS('Cobros abiertos'!$I$7:$I$100,'Cobros abiertos'!$A$7:$A$100,A12,'Cobros abiertos'!$F$7:$F$100,"Vencido")</x:f>
        <x:v>0</x:v>
      </x:c>
      <x:c r="P12" s="91" t="str"/>
      <x:c r="Q12" s="91" t="n">
        <x:v>0</x:v>
      </x:c>
      <x:c r="R12" s="91" t="str">
        <x:f>IF(O12&gt;0,"Con mora",IF(N12&gt;0,"Pendiente","Al día"))</x:f>
        <x:v>Pendiente</x:v>
      </x:c>
      <x:c r="S12" s="93" t="n">
        <x:v>366715.2</x:v>
      </x:c>
      <x:c r="T12" s="91" t="str">
        <x:v>2026-08</x:v>
      </x:c>
      <x:c r="U12" s="91" t="str">
        <x:v>self_registered</x:v>
      </x:c>
      <x:c r="V12" s="91" t="str">
        <x:v>Sí</x:v>
      </x:c>
    </x:row>
    <x:row r="13">
      <x:c r="A13" s="91" t="str">
        <x:v>Kd88xW3AP8imEDMc6fub</x:v>
      </x:c>
      <x:c r="B13" s="91" t="str">
        <x:v>Gala Victoria Maribel Toro</x:v>
      </x:c>
      <x:c r="C13" s="91" t="str">
        <x:v>42865445</x:v>
      </x:c>
      <x:c r="D13" s="91" t="str">
        <x:v>3731443468</x:v>
      </x:c>
      <x:c r="E13" s="91" t="str">
        <x:v>galatoro81@gmail.com</x:v>
      </x:c>
      <x:c r="F13" s="91" t="str">
        <x:v>Departamento 4</x:v>
      </x:c>
      <x:c r="G13" s="91" t="str">
        <x:v>4</x:v>
      </x:c>
      <x:c r="H13" s="91" t="str">
        <x:v>Departamento</x:v>
      </x:c>
      <x:c r="I13" s="91" t="str"/>
      <x:c r="J13" s="92" t="n">
        <x:v>46180.625</x:v>
      </x:c>
      <x:c r="K13" s="92" t="n">
        <x:v>46387.625</x:v>
      </x:c>
      <x:c r="L13" s="93" t="n">
        <x:v>321680</x:v>
      </x:c>
      <x:c r="M13" s="93" t="n">
        <x:f>IF(AND(T13&lt;&gt;"",T13&lt;=$B$4,S13&gt;0),S13,L13)</x:f>
        <x:v>366715.2</x:v>
      </x:c>
      <x:c r="N13" s="93" t="n">
        <x:f>SUMIF('Cobros abiertos'!$A$7:$A$100,A13,'Cobros abiertos'!$I$7:$I$100)</x:f>
        <x:v>331680</x:v>
      </x:c>
      <x:c r="O13" s="93" t="n">
        <x:f>SUMIFS('Cobros abiertos'!$I$7:$I$100,'Cobros abiertos'!$A$7:$A$100,A13,'Cobros abiertos'!$F$7:$F$100,"Vencido")</x:f>
        <x:v>0</x:v>
      </x:c>
      <x:c r="P13" s="91" t="str"/>
      <x:c r="Q13" s="91" t="n">
        <x:v>0</x:v>
      </x:c>
      <x:c r="R13" s="91" t="str">
        <x:f>IF(O13&gt;0,"Con mora",IF(N13&gt;0,"Pendiente","Al día"))</x:f>
        <x:v>Pendiente</x:v>
      </x:c>
      <x:c r="S13" s="93" t="n">
        <x:v>366715.2</x:v>
      </x:c>
      <x:c r="T13" s="91" t="str">
        <x:v>2026-08</x:v>
      </x:c>
      <x:c r="U13" s="91" t="str">
        <x:v>self_registered</x:v>
      </x:c>
      <x:c r="V13" s="91" t="str">
        <x:v>Sí</x:v>
      </x:c>
    </x:row>
    <x:row r="14">
      <x:c r="A14" s="91" t="str">
        <x:v>5kiUd4yNZwTi1j8sFKXF</x:v>
      </x:c>
      <x:c r="B14" s="91" t="str">
        <x:v>Johana González Guía</x:v>
      </x:c>
      <x:c r="C14" s="91" t="str">
        <x:v>27786916</x:v>
      </x:c>
      <x:c r="D14" s="91" t="str">
        <x:v>3644467131</x:v>
      </x:c>
      <x:c r="E14" s="91" t="str">
        <x:v>johanagonzalez@uncaus.edu.ar</x:v>
      </x:c>
      <x:c r="F14" s="91" t="str">
        <x:v>Departamento 3</x:v>
      </x:c>
      <x:c r="G14" s="91" t="str">
        <x:v>3</x:v>
      </x:c>
      <x:c r="H14" s="91" t="str">
        <x:v>Departamento</x:v>
      </x:c>
      <x:c r="I14" s="91" t="str"/>
      <x:c r="J14" s="92" t="n">
        <x:v>46182.625</x:v>
      </x:c>
      <x:c r="K14" s="92" t="n">
        <x:v>46387.625</x:v>
      </x:c>
      <x:c r="L14" s="93" t="n">
        <x:v>321680</x:v>
      </x:c>
      <x:c r="M14" s="93" t="n">
        <x:f>IF(AND(T14&lt;&gt;"",T14&lt;=$B$4,S14&gt;0),S14,L14)</x:f>
        <x:v>366715.2</x:v>
      </x:c>
      <x:c r="N14" s="93" t="n">
        <x:f>SUMIF('Cobros abiertos'!$A$7:$A$100,A14,'Cobros abiertos'!$I$7:$I$100)</x:f>
        <x:v>331680</x:v>
      </x:c>
      <x:c r="O14" s="93" t="n">
        <x:f>SUMIFS('Cobros abiertos'!$I$7:$I$100,'Cobros abiertos'!$A$7:$A$100,A14,'Cobros abiertos'!$F$7:$F$100,"Vencido")</x:f>
        <x:v>0</x:v>
      </x:c>
      <x:c r="P14" s="91" t="str"/>
      <x:c r="Q14" s="91" t="n">
        <x:v>0</x:v>
      </x:c>
      <x:c r="R14" s="91" t="str">
        <x:f>IF(O14&gt;0,"Con mora",IF(N14&gt;0,"Pendiente","Al día"))</x:f>
        <x:v>Pendiente</x:v>
      </x:c>
      <x:c r="S14" s="93" t="n">
        <x:v>366715.2</x:v>
      </x:c>
      <x:c r="T14" s="91" t="str">
        <x:v>2026-08</x:v>
      </x:c>
      <x:c r="U14" s="91" t="str">
        <x:v>self_registered</x:v>
      </x:c>
      <x:c r="V14" s="91" t="str">
        <x:v>Sí</x:v>
      </x:c>
    </x:row>
    <x:row r="15">
      <x:c r="A15" s="91" t="str">
        <x:v>Bng3AKf2CII0iLrILVtT</x:v>
      </x:c>
      <x:c r="B15" s="91" t="str">
        <x:v>Maria Celeste Canteros</x:v>
      </x:c>
      <x:c r="C15" s="91" t="str">
        <x:v>36700987</x:v>
      </x:c>
      <x:c r="D15" s="91" t="str">
        <x:v>3624 200116</x:v>
      </x:c>
      <x:c r="E15" s="91" t="str">
        <x:v>celes_017@hotmail.com</x:v>
      </x:c>
      <x:c r="F15" s="91" t="str">
        <x:v>Departamento 2</x:v>
      </x:c>
      <x:c r="G15" s="91" t="str">
        <x:v>2</x:v>
      </x:c>
      <x:c r="H15" s="91" t="str">
        <x:v>Departamento</x:v>
      </x:c>
      <x:c r="I15" s="91" t="str"/>
      <x:c r="J15" s="92" t="n">
        <x:v>46180.625</x:v>
      </x:c>
      <x:c r="K15" s="92" t="n">
        <x:v>46387.625</x:v>
      </x:c>
      <x:c r="L15" s="93" t="n">
        <x:v>321680</x:v>
      </x:c>
      <x:c r="M15" s="93" t="n">
        <x:f>IF(AND(T15&lt;&gt;"",T15&lt;=$B$4,S15&gt;0),S15,L15)</x:f>
        <x:v>366715.2</x:v>
      </x:c>
      <x:c r="N15" s="93" t="n">
        <x:f>SUMIF('Cobros abiertos'!$A$7:$A$100,A15,'Cobros abiertos'!$I$7:$I$100)</x:f>
        <x:v>0</x:v>
      </x:c>
      <x:c r="O15" s="93" t="n">
        <x:f>SUMIFS('Cobros abiertos'!$I$7:$I$100,'Cobros abiertos'!$A$7:$A$100,A15,'Cobros abiertos'!$F$7:$F$100,"Vencido")</x:f>
        <x:v>0</x:v>
      </x:c>
      <x:c r="P15" s="91" t="str"/>
      <x:c r="Q15" s="91" t="n">
        <x:v>0</x:v>
      </x:c>
      <x:c r="R15" s="91" t="str">
        <x:f>IF(O15&gt;0,"Con mora",IF(N15&gt;0,"Pendiente","Al día"))</x:f>
        <x:v>Al día</x:v>
      </x:c>
      <x:c r="S15" s="93" t="n">
        <x:v>366715.2</x:v>
      </x:c>
      <x:c r="T15" s="91" t="str">
        <x:v>2026-08</x:v>
      </x:c>
      <x:c r="U15" s="91" t="str">
        <x:v>claimed</x:v>
      </x:c>
      <x:c r="V15" s="91" t="str">
        <x:v>Sí</x:v>
      </x:c>
    </x:row>
    <x:row r="16">
      <x:c r="A16" s="91" t="str">
        <x:v>Y6Wxes3h2YRd2Y0I05Y7</x:v>
      </x:c>
      <x:c r="B16" s="91" t="str">
        <x:v>Naiara Elizabeth Miranda</x:v>
      </x:c>
      <x:c r="C16" s="91" t="str">
        <x:v>46516625</x:v>
      </x:c>
      <x:c r="D16" s="91" t="str">
        <x:v>3624202861</x:v>
      </x:c>
      <x:c r="E16" s="91" t="str">
        <x:v>nayamir05@gmail.com</x:v>
      </x:c>
      <x:c r="F16" s="91" t="str">
        <x:v>Departamento 11</x:v>
      </x:c>
      <x:c r="G16" s="91" t="str">
        <x:v>11</x:v>
      </x:c>
      <x:c r="H16" s="91" t="str">
        <x:v>Departamento</x:v>
      </x:c>
      <x:c r="I16" s="91" t="str"/>
      <x:c r="J16" s="92" t="n">
        <x:v>46236.625</x:v>
      </x:c>
      <x:c r="K16" s="92" t="n">
        <x:v>46387.625</x:v>
      </x:c>
      <x:c r="L16" s="93" t="n">
        <x:v>321680</x:v>
      </x:c>
      <x:c r="M16" s="93" t="n">
        <x:f>IF(AND(T16&lt;&gt;"",T16&lt;=$B$4,S16&gt;0),S16,L16)</x:f>
        <x:v>321680</x:v>
      </x:c>
      <x:c r="N16" s="93" t="n">
        <x:f>SUMIF('Cobros abiertos'!$A$7:$A$100,A16,'Cobros abiertos'!$I$7:$I$100)</x:f>
        <x:v>0</x:v>
      </x:c>
      <x:c r="O16" s="93" t="n">
        <x:f>SUMIFS('Cobros abiertos'!$I$7:$I$100,'Cobros abiertos'!$A$7:$A$100,A16,'Cobros abiertos'!$F$7:$F$100,"Vencido")</x:f>
        <x:v>0</x:v>
      </x:c>
      <x:c r="P16" s="91" t="str"/>
      <x:c r="Q16" s="91" t="n">
        <x:v>0</x:v>
      </x:c>
      <x:c r="R16" s="91" t="str">
        <x:f>IF(O16&gt;0,"Con mora",IF(N16&gt;0,"Pendiente","Al día"))</x:f>
        <x:v>Al día</x:v>
      </x:c>
      <x:c r="S16" s="93" t="n">
        <x:v>0</x:v>
      </x:c>
      <x:c r="T16" s="91" t="str"/>
      <x:c r="U16" s="91" t="str">
        <x:v>claimed</x:v>
      </x:c>
      <x:c r="V16" s="91" t="str">
        <x:v>Sí</x:v>
      </x:c>
    </x:row>
    <x:row r="17">
      <x:c r="A17" s="91" t="str">
        <x:v>kUcDEChnkAUQQ0r5edWw</x:v>
      </x:c>
      <x:c r="B17" s="91" t="str">
        <x:v>Paola Alejandra X</x:v>
      </x:c>
      <x:c r="C17" s="91" t="str">
        <x:v>28955121</x:v>
      </x:c>
      <x:c r="D17" s="91" t="str">
        <x:v>3644557939</x:v>
      </x:c>
      <x:c r="E17" s="91" t="str">
        <x:v>frutillita334@gmail.com</x:v>
      </x:c>
      <x:c r="F17" s="91" t="str">
        <x:v>Departamento 12</x:v>
      </x:c>
      <x:c r="G17" s="91" t="str">
        <x:v>12</x:v>
      </x:c>
      <x:c r="H17" s="91" t="str">
        <x:v>Departamento</x:v>
      </x:c>
      <x:c r="I17" s="91" t="str"/>
      <x:c r="J17" s="92" t="n">
        <x:v>46181.625</x:v>
      </x:c>
      <x:c r="K17" s="92" t="n">
        <x:v>46507.625</x:v>
      </x:c>
      <x:c r="L17" s="93" t="n">
        <x:v>321680</x:v>
      </x:c>
      <x:c r="M17" s="93" t="n">
        <x:f>IF(AND(T17&lt;&gt;"",T17&lt;=$B$4,S17&gt;0),S17,L17)</x:f>
        <x:v>321680</x:v>
      </x:c>
      <x:c r="N17" s="93" t="n">
        <x:f>SUMIF('Cobros abiertos'!$A$7:$A$100,A17,'Cobros abiertos'!$I$7:$I$100)</x:f>
        <x:v>331680</x:v>
      </x:c>
      <x:c r="O17" s="93" t="n">
        <x:f>SUMIFS('Cobros abiertos'!$I$7:$I$100,'Cobros abiertos'!$A$7:$A$100,A17,'Cobros abiertos'!$F$7:$F$100,"Vencido")</x:f>
        <x:v>0</x:v>
      </x:c>
      <x:c r="P17" s="91" t="str"/>
      <x:c r="Q17" s="91" t="n">
        <x:v>0</x:v>
      </x:c>
      <x:c r="R17" s="91" t="str">
        <x:f>IF(O17&gt;0,"Con mora",IF(N17&gt;0,"Pendiente","Al día"))</x:f>
        <x:v>Pendiente</x:v>
      </x:c>
      <x:c r="S17" s="93" t="n">
        <x:v>366715.2</x:v>
      </x:c>
      <x:c r="T17" s="91" t="str">
        <x:v>2026-10</x:v>
      </x:c>
      <x:c r="U17" s="91" t="str">
        <x:v>self_registered</x:v>
      </x:c>
      <x:c r="V17" s="91" t="str">
        <x:v>Sí</x:v>
      </x:c>
    </x:row>
    <x:row r="18">
      <x:c r="A18" s="94" t="str">
        <x:v>tenant_stefany_dulka</x:v>
      </x:c>
      <x:c r="B18" s="94" t="str">
        <x:v>Stefany Dulka</x:v>
      </x:c>
      <x:c r="C18" s="94" t="str">
        <x:v>40583235</x:v>
      </x:c>
      <x:c r="D18" s="94" t="str">
        <x:v>03731450364</x:v>
      </x:c>
      <x:c r="E18" s="94" t="str">
        <x:v>stefanydulka3@gmail.com</x:v>
      </x:c>
      <x:c r="F18" s="94" t="str">
        <x:v>Departamento 1</x:v>
      </x:c>
      <x:c r="G18" s="94" t="str">
        <x:v>1</x:v>
      </x:c>
      <x:c r="H18" s="94" t="str">
        <x:v>Departamento</x:v>
      </x:c>
      <x:c r="I18" s="94" t="str"/>
      <x:c r="J18" s="95" t="n">
        <x:v>46178.625</x:v>
      </x:c>
      <x:c r="K18" s="95" t="n">
        <x:v>46387.625</x:v>
      </x:c>
      <x:c r="L18" s="96" t="n">
        <x:v>321680</x:v>
      </x:c>
      <x:c r="M18" s="96" t="n">
        <x:f>IF(AND(T18&lt;&gt;"",T18&lt;=$B$4,S18&gt;0),S18,L18)</x:f>
        <x:v>366715.2</x:v>
      </x:c>
      <x:c r="N18" s="96" t="n">
        <x:f>SUMIF('Cobros abiertos'!$A$7:$A$100,A18,'Cobros abiertos'!$I$7:$I$100)</x:f>
        <x:v>331680</x:v>
      </x:c>
      <x:c r="O18" s="96" t="n">
        <x:f>SUMIFS('Cobros abiertos'!$I$7:$I$100,'Cobros abiertos'!$A$7:$A$100,A18,'Cobros abiertos'!$F$7:$F$100,"Vencido")</x:f>
        <x:v>0</x:v>
      </x:c>
      <x:c r="P18" s="94" t="str"/>
      <x:c r="Q18" s="94" t="n">
        <x:v>0</x:v>
      </x:c>
      <x:c r="R18" s="94" t="str">
        <x:f>IF(O18&gt;0,"Con mora",IF(N18&gt;0,"Pendiente","Al día"))</x:f>
        <x:v>Pendiente</x:v>
      </x:c>
      <x:c r="S18" s="96" t="n">
        <x:v>366715.2</x:v>
      </x:c>
      <x:c r="T18" s="94" t="str">
        <x:v>2026-08</x:v>
      </x:c>
      <x:c r="U18" s="94" t="str">
        <x:v>claimed</x:v>
      </x:c>
      <x:c r="V18" s="94" t="str">
        <x:v>Sí</x:v>
      </x:c>
    </x:row>
  </x:sheetData>
  <x:mergeCells>
    <x:mergeCell ref="A1:V1"/>
    <x:mergeCell ref="A2:V2"/>
  </x:mergeCells>
  <x:conditionalFormatting sqref="R7:R18">
    <x:cfRule type="containsText" dxfId="0" priority="1" operator="containsText" text="Con mora"/>
    <x:cfRule type="containsText" dxfId="1" priority="2" operator="containsText" text="Pendiente"/>
    <x:cfRule type="containsText" dxfId="2" priority="3" operator="containsText" text="Al día"/>
  </x:conditionalFormatting>
  <x:pageMargins left="0.7" right="0.7" top="0.75" bottom="0.75" header="0.3" footer="0.3"/>
  <x:tableParts count="1">
    <x:tablePart xmlns:r="http://schemas.openxmlformats.org/officeDocument/2006/relationships" r:id="Rd718388906a748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12" hidden="0" customWidth="1"/>
    <x:col min="5" max="5" width="14" hidden="0" customWidth="1"/>
    <x:col min="6" max="6" width="14" hidden="0" customWidth="1"/>
    <x:col min="7" max="7" width="16" hidden="0" customWidth="1"/>
    <x:col min="8" max="8" width="17" hidden="0" customWidth="1"/>
    <x:col min="9" max="9" width="17" hidden="0" customWidth="1"/>
    <x:col min="10" max="10" width="13" hidden="0" customWidth="1"/>
    <x:col min="11" max="11" width="12" hidden="0" customWidth="1"/>
    <x:col min="12" max="12" width="42" hidden="0" customWidth="1"/>
  </x:cols>
  <x:sheetData>
    <x:row r="1" ht="32" customHeight="1">
      <x:c r="A1" s="69" t="str">
        <x:v>Detalle de cobros abiertos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</x:row>
    <x:row r="2" ht="23" customHeight="1">
      <x:c r="A2" s="5" t="str">
        <x:v>Pendientes y vencidos que componen los totales de la hoja Inquilinos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6" ht="34" customHeight="1">
      <x:c r="A6" s="72" t="str">
        <x:v>ID inquilino</x:v>
      </x:c>
      <x:c r="B6" s="72" t="str">
        <x:v>Inquilino</x:v>
      </x:c>
      <x:c r="C6" s="72" t="str">
        <x:v>Unidad</x:v>
      </x:c>
      <x:c r="D6" s="72" t="str">
        <x:v>Período</x:v>
      </x:c>
      <x:c r="E6" s="72" t="str">
        <x:v>Vencimiento</x:v>
      </x:c>
      <x:c r="F6" s="72" t="str">
        <x:v>Estado</x:v>
      </x:c>
      <x:c r="G6" s="72" t="str">
        <x:v>Subtotal</x:v>
      </x:c>
      <x:c r="H6" s="72" t="str">
        <x:v>Mora acumulada</x:v>
      </x:c>
      <x:c r="I6" s="72" t="str">
        <x:v>Total adeudado</x:v>
      </x:c>
      <x:c r="J6" s="72" t="str">
        <x:v>Días de mora</x:v>
      </x:c>
      <x:c r="K6" s="72" t="str">
        <x:v>Tasa diaria</x:v>
      </x:c>
      <x:c r="L6" s="72" t="str">
        <x:v>Detalle de conceptos</x:v>
      </x:c>
    </x:row>
    <x:row r="7">
      <x:c r="A7" s="88" t="str">
        <x:v>SYfEm3bmNUdLo0rIAiCH</x:v>
      </x:c>
      <x:c r="B7" s="88" t="str">
        <x:v>Carla Guadalupe Gauna Acosta</x:v>
      </x:c>
      <x:c r="C7" s="88" t="str">
        <x:v>Departamento 8</x:v>
      </x:c>
      <x:c r="D7" s="88" t="str">
        <x:v>2026-06</x:v>
      </x:c>
      <x:c r="E7" s="89" t="n">
        <x:v>46213.625</x:v>
      </x:c>
      <x:c r="F7" s="88" t="str">
        <x:v>Vencido</x:v>
      </x:c>
      <x:c r="G7" s="90" t="n">
        <x:v>331680</x:v>
      </x:c>
      <x:c r="H7" s="90" t="n">
        <x:v>82920</x:v>
      </x:c>
      <x:c r="I7" s="90" t="n">
        <x:v>414600</x:v>
      </x:c>
      <x:c r="J7" s="88" t="n">
        <x:v>25</x:v>
      </x:c>
      <x:c r="K7" s="102" t="n">
        <x:v>0.01</x:v>
      </x:c>
      <x:c r="L7" s="105" t="str">
        <x:v>Alquiler: 321680 | Expensas: 10000</x:v>
      </x:c>
    </x:row>
    <x:row r="8">
      <x:c r="A8" s="91" t="str">
        <x:v>rwIffS65mRRAcKiWObl9</x:v>
      </x:c>
      <x:c r="B8" s="91" t="str">
        <x:v>Alvaro Efrain Moore Martinez</x:v>
      </x:c>
      <x:c r="C8" s="91" t="str">
        <x:v>Casa 1</x:v>
      </x:c>
      <x:c r="D8" s="91" t="str">
        <x:v>2026-05</x:v>
      </x:c>
      <x:c r="E8" s="92" t="n">
        <x:v>46213.625</x:v>
      </x:c>
      <x:c r="F8" s="91" t="str">
        <x:v>Vencido</x:v>
      </x:c>
      <x:c r="G8" s="93" t="n">
        <x:v>500000</x:v>
      </x:c>
      <x:c r="H8" s="93" t="n">
        <x:v>125000</x:v>
      </x:c>
      <x:c r="I8" s="93" t="n">
        <x:v>625000</x:v>
      </x:c>
      <x:c r="J8" s="91" t="n">
        <x:v>25</x:v>
      </x:c>
      <x:c r="K8" s="103" t="n">
        <x:v>0.01</x:v>
      </x:c>
      <x:c r="L8" s="106" t="str">
        <x:v>Alquiler: 500000</x:v>
      </x:c>
    </x:row>
    <x:row r="9">
      <x:c r="A9" s="91" t="str">
        <x:v>c6coqDyow91HukhG6qOu</x:v>
      </x:c>
      <x:c r="B9" s="91" t="str">
        <x:v>Alan exequiel videla</x:v>
      </x:c>
      <x:c r="C9" s="91" t="str">
        <x:v>Departamento 7</x:v>
      </x:c>
      <x:c r="D9" s="91" t="str">
        <x:v>2026-06</x:v>
      </x:c>
      <x:c r="E9" s="92" t="n">
        <x:v>46231.625</x:v>
      </x:c>
      <x:c r="F9" s="91" t="str">
        <x:v>Vencido</x:v>
      </x:c>
      <x:c r="G9" s="93" t="n">
        <x:v>331680</x:v>
      </x:c>
      <x:c r="H9" s="93" t="n">
        <x:v>23217.6</x:v>
      </x:c>
      <x:c r="I9" s="93" t="n">
        <x:v>354897.6</x:v>
      </x:c>
      <x:c r="J9" s="91" t="n">
        <x:v>7</x:v>
      </x:c>
      <x:c r="K9" s="103" t="n">
        <x:v>0.01</x:v>
      </x:c>
      <x:c r="L9" s="106" t="str">
        <x:v>Alquiler: 321680 | Expensas: 10000</x:v>
      </x:c>
    </x:row>
    <x:row r="10">
      <x:c r="A10" s="91" t="str">
        <x:v>Kd88xW3AP8imEDMc6fub</x:v>
      </x:c>
      <x:c r="B10" s="91" t="str">
        <x:v>Gala Victoria Maribel Toro</x:v>
      </x:c>
      <x:c r="C10" s="91" t="str">
        <x:v>Departamento 4</x:v>
      </x:c>
      <x:c r="D10" s="91" t="str">
        <x:v>2026-07</x:v>
      </x:c>
      <x:c r="E10" s="92" t="n">
        <x:v>46244.625</x:v>
      </x:c>
      <x:c r="F10" s="91" t="str">
        <x:v>Pendiente</x:v>
      </x:c>
      <x:c r="G10" s="93" t="n">
        <x:v>331680</x:v>
      </x:c>
      <x:c r="H10" s="93" t="n">
        <x:v>0</x:v>
      </x:c>
      <x:c r="I10" s="93" t="n">
        <x:v>331680</x:v>
      </x:c>
      <x:c r="J10" s="91" t="n">
        <x:v>0</x:v>
      </x:c>
      <x:c r="K10" s="103" t="n">
        <x:v>0.01</x:v>
      </x:c>
      <x:c r="L10" s="106" t="str">
        <x:v>Alquiler: 321680 | Expensas: 10000</x:v>
      </x:c>
    </x:row>
    <x:row r="11">
      <x:c r="A11" s="91" t="str">
        <x:v>SYfEm3bmNUdLo0rIAiCH</x:v>
      </x:c>
      <x:c r="B11" s="91" t="str">
        <x:v>Carla Guadalupe Gauna Acosta</x:v>
      </x:c>
      <x:c r="C11" s="91" t="str">
        <x:v>Departamento 8</x:v>
      </x:c>
      <x:c r="D11" s="91" t="str">
        <x:v>2026-07</x:v>
      </x:c>
      <x:c r="E11" s="92" t="n">
        <x:v>46244.625</x:v>
      </x:c>
      <x:c r="F11" s="91" t="str">
        <x:v>Pendiente</x:v>
      </x:c>
      <x:c r="G11" s="93" t="n">
        <x:v>331680</x:v>
      </x:c>
      <x:c r="H11" s="93" t="n">
        <x:v>0</x:v>
      </x:c>
      <x:c r="I11" s="93" t="n">
        <x:v>331680</x:v>
      </x:c>
      <x:c r="J11" s="91" t="n">
        <x:v>0</x:v>
      </x:c>
      <x:c r="K11" s="103" t="n">
        <x:v>0.01</x:v>
      </x:c>
      <x:c r="L11" s="106" t="str">
        <x:v>Alquiler: 321680 | Expensas: 10000</x:v>
      </x:c>
    </x:row>
    <x:row r="12">
      <x:c r="A12" s="91" t="str">
        <x:v>skW9lVVh4enAPIFxfwrv</x:v>
      </x:c>
      <x:c r="B12" s="91" t="str">
        <x:v>Adrian Colman</x:v>
      </x:c>
      <x:c r="C12" s="91" t="str">
        <x:v>Departamento 10</x:v>
      </x:c>
      <x:c r="D12" s="91" t="str">
        <x:v>2026-07</x:v>
      </x:c>
      <x:c r="E12" s="92" t="n">
        <x:v>46244.625</x:v>
      </x:c>
      <x:c r="F12" s="91" t="str">
        <x:v>Pendiente</x:v>
      </x:c>
      <x:c r="G12" s="93" t="n">
        <x:v>331680</x:v>
      </x:c>
      <x:c r="H12" s="93" t="n">
        <x:v>0</x:v>
      </x:c>
      <x:c r="I12" s="93" t="n">
        <x:v>331680</x:v>
      </x:c>
      <x:c r="J12" s="91" t="n">
        <x:v>0</x:v>
      </x:c>
      <x:c r="K12" s="103" t="n">
        <x:v>0.01</x:v>
      </x:c>
      <x:c r="L12" s="106" t="str">
        <x:v>Alquiler: 321680 | Expensas: 10000</x:v>
      </x:c>
    </x:row>
    <x:row r="13">
      <x:c r="A13" s="91" t="str">
        <x:v>OvKft1oWgbzqG9rygDcg</x:v>
      </x:c>
      <x:c r="B13" s="91" t="str">
        <x:v>Evelyn Juliana Aguirre</x:v>
      </x:c>
      <x:c r="C13" s="91" t="str">
        <x:v>Departamento 9</x:v>
      </x:c>
      <x:c r="D13" s="91" t="str">
        <x:v>2026-07</x:v>
      </x:c>
      <x:c r="E13" s="92" t="n">
        <x:v>46244.625</x:v>
      </x:c>
      <x:c r="F13" s="91" t="str">
        <x:v>Pendiente</x:v>
      </x:c>
      <x:c r="G13" s="93" t="n">
        <x:v>331680</x:v>
      </x:c>
      <x:c r="H13" s="93" t="n">
        <x:v>0</x:v>
      </x:c>
      <x:c r="I13" s="93" t="n">
        <x:v>331680</x:v>
      </x:c>
      <x:c r="J13" s="91" t="n">
        <x:v>0</x:v>
      </x:c>
      <x:c r="K13" s="103" t="n">
        <x:v>0.01</x:v>
      </x:c>
      <x:c r="L13" s="106" t="str">
        <x:v>Alquiler: 321680 | Expensas: 10000</x:v>
      </x:c>
    </x:row>
    <x:row r="14">
      <x:c r="A14" s="91" t="str">
        <x:v>kUcDEChnkAUQQ0r5edWw</x:v>
      </x:c>
      <x:c r="B14" s="91" t="str">
        <x:v>Paola Alejandra X</x:v>
      </x:c>
      <x:c r="C14" s="91" t="str">
        <x:v>Departamento 12</x:v>
      </x:c>
      <x:c r="D14" s="91" t="str">
        <x:v>2026-07</x:v>
      </x:c>
      <x:c r="E14" s="92" t="n">
        <x:v>46244.625</x:v>
      </x:c>
      <x:c r="F14" s="91" t="str">
        <x:v>Pendiente</x:v>
      </x:c>
      <x:c r="G14" s="93" t="n">
        <x:v>331680</x:v>
      </x:c>
      <x:c r="H14" s="93" t="n">
        <x:v>0</x:v>
      </x:c>
      <x:c r="I14" s="93" t="n">
        <x:v>331680</x:v>
      </x:c>
      <x:c r="J14" s="91" t="n">
        <x:v>0</x:v>
      </x:c>
      <x:c r="K14" s="103" t="n">
        <x:v>0.01</x:v>
      </x:c>
      <x:c r="L14" s="106" t="str">
        <x:v>Alquiler: 321680 | Expensas: 10000</x:v>
      </x:c>
    </x:row>
    <x:row r="15">
      <x:c r="A15" s="91" t="str">
        <x:v>tenant_stefany_dulka</x:v>
      </x:c>
      <x:c r="B15" s="91" t="str">
        <x:v>Stefany Dulka</x:v>
      </x:c>
      <x:c r="C15" s="91" t="str">
        <x:v>Departamento 1</x:v>
      </x:c>
      <x:c r="D15" s="91" t="str">
        <x:v>2026-07</x:v>
      </x:c>
      <x:c r="E15" s="92" t="n">
        <x:v>46244.625</x:v>
      </x:c>
      <x:c r="F15" s="91" t="str">
        <x:v>Pendiente</x:v>
      </x:c>
      <x:c r="G15" s="93" t="n">
        <x:v>331680</x:v>
      </x:c>
      <x:c r="H15" s="93" t="n">
        <x:v>0</x:v>
      </x:c>
      <x:c r="I15" s="93" t="n">
        <x:v>331680</x:v>
      </x:c>
      <x:c r="J15" s="91" t="n">
        <x:v>0</x:v>
      </x:c>
      <x:c r="K15" s="103" t="n">
        <x:v>0.01</x:v>
      </x:c>
      <x:c r="L15" s="106" t="str">
        <x:v>Alquiler: 321680 | Expensas: 10000</x:v>
      </x:c>
    </x:row>
    <x:row r="16">
      <x:c r="A16" s="91" t="str">
        <x:v>5kiUd4yNZwTi1j8sFKXF</x:v>
      </x:c>
      <x:c r="B16" s="91" t="str">
        <x:v>Johana González Guía</x:v>
      </x:c>
      <x:c r="C16" s="91" t="str">
        <x:v>Departamento 3</x:v>
      </x:c>
      <x:c r="D16" s="91" t="str">
        <x:v>2026-07</x:v>
      </x:c>
      <x:c r="E16" s="92" t="n">
        <x:v>46244.625</x:v>
      </x:c>
      <x:c r="F16" s="91" t="str">
        <x:v>Pendiente</x:v>
      </x:c>
      <x:c r="G16" s="93" t="n">
        <x:v>331680</x:v>
      </x:c>
      <x:c r="H16" s="93" t="n">
        <x:v>0</x:v>
      </x:c>
      <x:c r="I16" s="93" t="n">
        <x:v>331680</x:v>
      </x:c>
      <x:c r="J16" s="91" t="n">
        <x:v>0</x:v>
      </x:c>
      <x:c r="K16" s="103" t="n">
        <x:v>0.01</x:v>
      </x:c>
      <x:c r="L16" s="106" t="str">
        <x:v>Alquiler: 321680 | Expensas: 10000</x:v>
      </x:c>
    </x:row>
    <x:row r="17">
      <x:c r="A17" s="94" t="str">
        <x:v>c6coqDyow91HukhG6qOu</x:v>
      </x:c>
      <x:c r="B17" s="94" t="str">
        <x:v>Alan exequiel videla</x:v>
      </x:c>
      <x:c r="C17" s="94" t="str">
        <x:v>Departamento 7</x:v>
      </x:c>
      <x:c r="D17" s="94" t="str">
        <x:v>2026-07</x:v>
      </x:c>
      <x:c r="E17" s="95" t="n">
        <x:v>46262.625</x:v>
      </x:c>
      <x:c r="F17" s="94" t="str">
        <x:v>Pendiente</x:v>
      </x:c>
      <x:c r="G17" s="96" t="n">
        <x:v>331680</x:v>
      </x:c>
      <x:c r="H17" s="96" t="n">
        <x:v>0</x:v>
      </x:c>
      <x:c r="I17" s="96" t="n">
        <x:v>331680</x:v>
      </x:c>
      <x:c r="J17" s="94" t="n">
        <x:v>0</x:v>
      </x:c>
      <x:c r="K17" s="104" t="n">
        <x:v>0.01</x:v>
      </x:c>
      <x:c r="L17" s="107" t="str">
        <x:v>Alquiler: 321680 | Expensas: 10000</x:v>
      </x:c>
    </x:row>
  </x:sheetData>
  <x:mergeCells>
    <x:mergeCell ref="A1:L1"/>
    <x:mergeCell ref="A2:L2"/>
  </x:mergeCells>
  <x:conditionalFormatting sqref="F7:F17">
    <x:cfRule type="containsText" dxfId="3" priority="1" operator="containsText" text="Vencido"/>
    <x:cfRule type="containsText" dxfId="4" priority="2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bf49caed20e9403c"/>
  </x:tableParts>
</x:worksheet>
</file>